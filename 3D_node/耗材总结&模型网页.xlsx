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45" windowHeight="24975" activeTab="1"/>
  </bookViews>
  <sheets>
    <sheet name="耗材性能" sheetId="1" r:id="rId1"/>
    <sheet name="模型文件网站" sheetId="2" r:id="rId2"/>
    <sheet name="Sheet3" sheetId="3" r:id="rId3"/>
  </sheets>
  <definedNames>
    <definedName name="_xlnm._FilterDatabase" localSheetId="0" hidden="1">耗材性能!$A$2:$U$16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sz val="9"/>
            <rFont val="宋体"/>
            <charset val="134"/>
          </rPr>
          <t>此处取拉伸、弯曲强度
平均值，仅供参考，详细参数请看隐藏列
数值↑，耗材越不易变形</t>
        </r>
      </text>
    </comment>
    <comment ref="H2" authorId="0">
      <text>
        <r>
          <rPr>
            <sz val="9"/>
            <rFont val="宋体"/>
            <charset val="134"/>
          </rPr>
          <t>aka缺口冲击强度
数值↑，耗材越耐摔耐磕碰</t>
        </r>
      </text>
    </comment>
    <comment ref="L2" authorId="0">
      <text>
        <r>
          <rPr>
            <sz val="9"/>
            <rFont val="宋体"/>
            <charset val="134"/>
          </rPr>
          <t>通常数值越大，耗材打印时越容易发生翘曲变形</t>
        </r>
      </text>
    </comment>
    <comment ref="R2" authorId="0">
      <text>
        <r>
          <rPr>
            <sz val="9"/>
            <rFont val="宋体"/>
            <charset val="134"/>
          </rPr>
          <t>★：注意保存即可
★★：开封后1个月内使用完，空气相对湿度&gt;40%时千万注意保存
★★★：易受潮，建议打印前3-5小时烘干
★★★★：极易受潮，建议一边烘干一边打印</t>
        </r>
      </text>
    </comment>
    <comment ref="O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不加温需涂胶水
50-60</t>
        </r>
      </text>
    </comment>
    <comment ref="T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【元/4卷（共4kg）】</t>
        </r>
      </text>
    </comment>
    <comment ref="O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不加温需涂胶水</t>
        </r>
      </text>
    </comment>
    <comment ref="F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（2mm/min）</t>
        </r>
      </text>
    </comment>
    <comment ref="T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【元/卷（0.9kg）】</t>
        </r>
      </text>
    </comment>
    <comment ref="K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210°C/2.16kg（G/10min）</t>
        </r>
      </text>
    </comment>
    <comment ref="T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【元/卷（0.5kg）】</t>
        </r>
      </text>
    </comment>
    <comment ref="K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210°C/2.16kg（G/10min）</t>
        </r>
      </text>
    </comment>
    <comment ref="K15" authorId="0">
      <text>
        <r>
          <rPr>
            <b/>
            <sz val="9"/>
            <rFont val="宋体"/>
            <charset val="134"/>
          </rPr>
          <t>Administrator:
220</t>
        </r>
        <r>
          <rPr>
            <sz val="9"/>
            <rFont val="宋体"/>
            <charset val="134"/>
          </rPr>
          <t>°C/2.16kg（G/10min）</t>
        </r>
      </text>
    </comment>
  </commentList>
</comments>
</file>

<file path=xl/sharedStrings.xml><?xml version="1.0" encoding="utf-8"?>
<sst xmlns="http://schemas.openxmlformats.org/spreadsheetml/2006/main" count="223" uniqueCount="140">
  <si>
    <t>分类</t>
  </si>
  <si>
    <t>特性</t>
  </si>
  <si>
    <t>基础性能参数</t>
  </si>
  <si>
    <t>打印参数设置</t>
  </si>
  <si>
    <t>参考价格
【元/卷（1kg）】</t>
  </si>
  <si>
    <t>备注</t>
  </si>
  <si>
    <t>用途</t>
  </si>
  <si>
    <t>名称</t>
  </si>
  <si>
    <t>优点</t>
  </si>
  <si>
    <t>缺点</t>
  </si>
  <si>
    <t>强度
（MPa）</t>
  </si>
  <si>
    <t>拉伸强度
【MPa
（50mm/min)】</t>
  </si>
  <si>
    <t>弯曲强度
【MPa
（2mm/min)】</t>
  </si>
  <si>
    <t>韧性
（kJ/m²）</t>
  </si>
  <si>
    <t>断裂伸长率
%</t>
  </si>
  <si>
    <t>热变形温度
°C</t>
  </si>
  <si>
    <t>溶体流动速率
190°C/2.16kg（G/10min）</t>
  </si>
  <si>
    <t>收缩率
%（23°C）</t>
  </si>
  <si>
    <t>喷嘴温度
（°C）</t>
  </si>
  <si>
    <t>打印速度
（mm/s）</t>
  </si>
  <si>
    <t>底板温度
(°C）</t>
  </si>
  <si>
    <t>打印层高
（mm）</t>
  </si>
  <si>
    <t>烘干温度
°C</t>
  </si>
  <si>
    <t>搭配烘干机
推荐指数</t>
  </si>
  <si>
    <t>另外准备物件</t>
  </si>
  <si>
    <t>基础性
耗材</t>
  </si>
  <si>
    <t>PLA</t>
  </si>
  <si>
    <t>强度★★★
韧性★
价格实惠易打印
不翘曲、不开裂</t>
  </si>
  <si>
    <t>不耐高温
不耐水/酸碱
不耐磕碰</t>
  </si>
  <si>
    <t>~</t>
  </si>
  <si>
    <t>0.1-0.3</t>
  </si>
  <si>
    <t>200-210</t>
  </si>
  <si>
    <t>40-60</t>
  </si>
  <si>
    <t>50-60</t>
  </si>
  <si>
    <t>0.08-0.28</t>
  </si>
  <si>
    <t>45-50</t>
  </si>
  <si>
    <t>★</t>
  </si>
  <si>
    <t>/</t>
  </si>
  <si>
    <t>PETG</t>
  </si>
  <si>
    <t>韧性★★★
耐酸碱性好
优良坚韧性</t>
  </si>
  <si>
    <t>久置软化
易翘曲</t>
  </si>
  <si>
    <t>0.1-0.5</t>
  </si>
  <si>
    <t>230-240
240-260</t>
  </si>
  <si>
    <t>40-60
100-200</t>
  </si>
  <si>
    <t>75-85</t>
  </si>
  <si>
    <t>PLA+</t>
  </si>
  <si>
    <t>强度★★
韧性★</t>
  </si>
  <si>
    <t>195-205
205-220</t>
  </si>
  <si>
    <t>50-100
100-300</t>
  </si>
  <si>
    <t>PLA+ 2.0</t>
  </si>
  <si>
    <t>强度★★
韧性★★</t>
  </si>
  <si>
    <t>不耐高温
不耐水/酸碱</t>
  </si>
  <si>
    <t>55-65</t>
  </si>
  <si>
    <t>观赏性
耗材</t>
  </si>
  <si>
    <t>PLA CMYK</t>
  </si>
  <si>
    <t>透光浮雕指定耗材</t>
  </si>
  <si>
    <t>硬性要求多
易翘曲</t>
  </si>
  <si>
    <t>0.3-0.5</t>
  </si>
  <si>
    <t>200-210
210-240</t>
  </si>
  <si>
    <t>50-100
100-200</t>
  </si>
  <si>
    <t>50-65</t>
  </si>
  <si>
    <t>★★</t>
  </si>
  <si>
    <t>·蓝色美纹纸胶带（推荐）/
打印胶水
·lithophane软件（拓竹自带）
·带AMS的打印机</t>
  </si>
  <si>
    <t>·0.2口径喷嘴打印可以更加精致
·发光灯片可在拓竹官网购买</t>
  </si>
  <si>
    <t>PLA 透明</t>
  </si>
  <si>
    <t>哑光透明</t>
  </si>
  <si>
    <t>易受潮</t>
  </si>
  <si>
    <t>50-100</t>
  </si>
  <si>
    <t>·个人推荐较明显的打印参数：填充密度=0％、壁厚=5层</t>
  </si>
  <si>
    <t>PLA 夜光</t>
  </si>
  <si>
    <t>夜光效果</t>
  </si>
  <si>
    <t>极易受潮</t>
  </si>
  <si>
    <t>195-205
205-225</t>
  </si>
  <si>
    <t>0.08-0.2</t>
  </si>
  <si>
    <t>★★★</t>
  </si>
  <si>
    <t>·UV灯（推荐）</t>
  </si>
  <si>
    <t>·阳光照射1-3分钟，可发光60分钟
·UV灯光照射3-10分钟，可发光40分钟
·日光灯照射10-20分钟，可发光30分钟</t>
  </si>
  <si>
    <t>PLA+ 丝绸</t>
  </si>
  <si>
    <t>仿丝绸质感</t>
  </si>
  <si>
    <t>205-215
215-235</t>
  </si>
  <si>
    <t>0.08-0.12</t>
  </si>
  <si>
    <t>PVB</t>
  </si>
  <si>
    <t>可酒精抛光</t>
  </si>
  <si>
    <t>底板粘性差
后期操作略麻烦</t>
  </si>
  <si>
    <t>195-205
205-215</t>
  </si>
  <si>
    <t>50-55</t>
  </si>
  <si>
    <t>·95°医用酒精
·抛光布（醋酸/仿醋酸）
·蓝色美纹纸胶带（推荐）/
打印胶水</t>
  </si>
  <si>
    <r>
      <rPr>
        <sz val="9"/>
        <color theme="1"/>
        <rFont val="宋体"/>
        <charset val="134"/>
        <scheme val="minor"/>
      </rPr>
      <t xml:space="preserve">·95°医用酒精按同一时针方向轻微用力，不可使表面起胶
</t>
    </r>
    <r>
      <rPr>
        <b/>
        <sz val="9"/>
        <color theme="1"/>
        <rFont val="宋体"/>
        <charset val="134"/>
        <scheme val="minor"/>
      </rPr>
      <t>·遇酒精会变粘，特别推荐带一次性手套</t>
    </r>
  </si>
  <si>
    <t>功能性
耗材</t>
  </si>
  <si>
    <t>PVA</t>
  </si>
  <si>
    <t>溶于水
易拆卸</t>
  </si>
  <si>
    <t>材料利用率低
易受潮</t>
  </si>
  <si>
    <t>200-210
210-230</t>
  </si>
  <si>
    <r>
      <rPr>
        <b/>
        <sz val="9"/>
        <color theme="1"/>
        <rFont val="宋体"/>
        <charset val="134"/>
        <scheme val="minor"/>
      </rPr>
      <t>·单喷头打印机换料多，谨慎使用</t>
    </r>
    <r>
      <rPr>
        <sz val="9"/>
        <color theme="1"/>
        <rFont val="宋体"/>
        <charset val="134"/>
        <scheme val="minor"/>
      </rPr>
      <t xml:space="preserve">
·60°C温水浸泡搅拌，能时溶解速率提升</t>
    </r>
  </si>
  <si>
    <t>PA6-CF</t>
  </si>
  <si>
    <t>强度★★★★★★
高温耐性★★★★★</t>
  </si>
  <si>
    <t>韧性差
硬性条件要求多
极易受潮</t>
  </si>
  <si>
    <t>270-290</t>
  </si>
  <si>
    <t>80-100</t>
  </si>
  <si>
    <t>60-70</t>
  </si>
  <si>
    <t>★★★★</t>
  </si>
  <si>
    <t>·硬化钢喷嘴
·蓝色美纹纸胶带（推荐）/
打印胶水
·封箱打印机（推荐）</t>
  </si>
  <si>
    <t>·打印前耗材处理：烘干机烘干80°C-24小时/110°C-4小时
·打印后模型处理：80-130°C烤箱中退火5-12小时，进一步提高强度
·与模型结构、尺寸退火条件有关，可能会翘曲、变形</t>
  </si>
  <si>
    <t>ASA</t>
  </si>
  <si>
    <t>紫外线抗性★★★★
抗晒耐候</t>
  </si>
  <si>
    <t>极易翘曲
产生极难闻的有害气体</t>
  </si>
  <si>
    <t>0.4-0.9</t>
  </si>
  <si>
    <t>255-275</t>
  </si>
  <si>
    <t>·封箱打印机（推荐）</t>
  </si>
  <si>
    <t>·注意通风打印</t>
  </si>
  <si>
    <t>ABS</t>
  </si>
  <si>
    <t>韧性★★★★
高温耐性★★★★</t>
  </si>
  <si>
    <t>产生有害气体
极易翘曲
强度差</t>
  </si>
  <si>
    <t>250-260
260-280</t>
  </si>
  <si>
    <t>·蓝色美纹纸胶带（推荐）/
打印胶水
·封箱打印机（推荐）</t>
  </si>
  <si>
    <r>
      <rPr>
        <sz val="9"/>
        <color theme="1"/>
        <rFont val="宋体"/>
        <charset val="134"/>
        <scheme val="minor"/>
      </rPr>
      <t>·注意通风打印
·谨慎设置</t>
    </r>
    <r>
      <rPr>
        <b/>
        <sz val="9"/>
        <color theme="1"/>
        <rFont val="宋体"/>
        <charset val="134"/>
        <scheme val="minor"/>
      </rPr>
      <t>skirt 、 brim、阀层</t>
    </r>
    <r>
      <rPr>
        <sz val="9"/>
        <color theme="1"/>
        <rFont val="宋体"/>
        <charset val="134"/>
        <scheme val="minor"/>
      </rPr>
      <t>，对打印很有帮助</t>
    </r>
  </si>
  <si>
    <t>TPU 95A</t>
  </si>
  <si>
    <t>回弹性★★★
延伸性★★★
抗老化性★★★</t>
  </si>
  <si>
    <t>极易受潮
无强度可言
打印参数设置略多</t>
  </si>
  <si>
    <t>≈∞</t>
  </si>
  <si>
    <t>20-30</t>
  </si>
  <si>
    <t>190-210
210-230</t>
  </si>
  <si>
    <t>50-80</t>
  </si>
  <si>
    <t>30-50</t>
  </si>
  <si>
    <t>0.16-0.2</t>
  </si>
  <si>
    <r>
      <rPr>
        <sz val="9"/>
        <color theme="1"/>
        <rFont val="宋体"/>
        <charset val="134"/>
        <scheme val="minor"/>
      </rPr>
      <t xml:space="preserve">·不能设置回抽速度
·风扇冷却：70%
</t>
    </r>
    <r>
      <rPr>
        <b/>
        <sz val="9"/>
        <color theme="1"/>
        <rFont val="宋体"/>
        <charset val="134"/>
        <scheme val="minor"/>
      </rPr>
      <t>·不能使用AMS功能打印，需打印机本机进料</t>
    </r>
  </si>
  <si>
    <t>项目</t>
  </si>
  <si>
    <t>网址</t>
  </si>
  <si>
    <t>金刚狼爪</t>
  </si>
  <si>
    <t>https://makerworld.com.cn/zh/models/126470?from=search#profileId-12717</t>
  </si>
  <si>
    <t>金箍棒</t>
  </si>
  <si>
    <t>https://makerworld.com.cn/zh/models/456043?from=search#profileId-389088</t>
  </si>
  <si>
    <t>波提欧手枪</t>
  </si>
  <si>
    <t>https://makerworld.com.cn/zh/models/191838?from=search#profileId-362588</t>
  </si>
  <si>
    <t>tpu中空球</t>
  </si>
  <si>
    <t>https://makerworld.com.cn/zh/models/126243?from=search#profileId-14712</t>
  </si>
  <si>
    <t>乱破·鸭舌帽夜光配件</t>
  </si>
  <si>
    <t>https://makerworld.com.cn/zh/models/582409#profileId-513715</t>
  </si>
  <si>
    <t>饮月君·龙角配件</t>
  </si>
  <si>
    <t>https://makerworld.com.cn/zh/models/582426#profileId-513729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</si>
</sst>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5">
    <font>
      <sz val="11"/>
      <color theme="1"/>
      <name val="宋体"/>
      <charset val="134"/>
      <scheme val="minor"/>
    </font>
    <font>
      <sz val="20"/>
      <color theme="1"/>
      <name val="得意黑"/>
      <charset val="134"/>
    </font>
    <font>
      <u/>
      <sz val="11"/>
      <color rgb="FF0000FF"/>
      <name val="宋体"/>
      <charset val="0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20"/>
      <color theme="1"/>
      <name val="得意黑"/>
      <charset val="134"/>
    </font>
    <font>
      <b/>
      <sz val="14"/>
      <color theme="1"/>
      <name val="得意黑"/>
      <charset val="134"/>
    </font>
    <font>
      <b/>
      <sz val="9"/>
      <color theme="1"/>
      <name val="得意黑"/>
      <charset val="134"/>
    </font>
    <font>
      <sz val="9"/>
      <color theme="1"/>
      <name val="得意黑"/>
      <charset val="134"/>
    </font>
    <font>
      <b/>
      <sz val="11"/>
      <color theme="1"/>
      <name val="得意黑"/>
      <charset val="134"/>
    </font>
    <font>
      <b/>
      <sz val="9"/>
      <name val="得意黑"/>
      <charset val="134"/>
    </font>
    <font>
      <sz val="9"/>
      <name val="宋体"/>
      <charset val="134"/>
      <scheme val="minor"/>
    </font>
    <font>
      <b/>
      <sz val="12"/>
      <color theme="1"/>
      <name val="得意黑"/>
      <charset val="134"/>
    </font>
    <font>
      <b/>
      <sz val="18"/>
      <color theme="1"/>
      <name val="得意黑"/>
      <charset val="134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4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3" applyNumberFormat="0" applyFill="0" applyAlignment="0" applyProtection="0">
      <alignment vertical="center"/>
    </xf>
    <xf numFmtId="0" fontId="20" fillId="0" borderId="43" applyNumberFormat="0" applyFill="0" applyAlignment="0" applyProtection="0">
      <alignment vertical="center"/>
    </xf>
    <xf numFmtId="0" fontId="21" fillId="0" borderId="4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45" applyNumberFormat="0" applyAlignment="0" applyProtection="0">
      <alignment vertical="center"/>
    </xf>
    <xf numFmtId="0" fontId="23" fillId="8" borderId="46" applyNumberFormat="0" applyAlignment="0" applyProtection="0">
      <alignment vertical="center"/>
    </xf>
    <xf numFmtId="0" fontId="24" fillId="8" borderId="45" applyNumberFormat="0" applyAlignment="0" applyProtection="0">
      <alignment vertical="center"/>
    </xf>
    <xf numFmtId="0" fontId="25" fillId="9" borderId="47" applyNumberFormat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6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176" fontId="7" fillId="2" borderId="14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176" fontId="4" fillId="2" borderId="18" xfId="0" applyNumberFormat="1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176" fontId="4" fillId="2" borderId="25" xfId="0" applyNumberFormat="1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176" fontId="4" fillId="2" borderId="29" xfId="0" applyNumberFormat="1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11" fillId="4" borderId="36" xfId="0" applyFont="1" applyFill="1" applyBorder="1" applyAlignment="1">
      <alignment horizontal="center" vertical="center" wrapText="1"/>
    </xf>
    <xf numFmtId="17" fontId="11" fillId="4" borderId="37" xfId="0" applyNumberFormat="1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4" fillId="2" borderId="23" xfId="0" applyNumberFormat="1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14" fillId="5" borderId="33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makerworld.com.cn/zh/models/582426#profileId-513729" TargetMode="External"/><Relationship Id="rId1" Type="http://schemas.openxmlformats.org/officeDocument/2006/relationships/hyperlink" Target="https://makerworld.com.cn/zh/models/582409#profileId-5137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3.5"/>
  <cols>
    <col min="1" max="1" width="5.125" style="10" customWidth="1"/>
    <col min="2" max="2" width="8.875" style="10" customWidth="1"/>
    <col min="3" max="4" width="16.625" style="11" customWidth="1"/>
    <col min="5" max="5" width="6.90833333333333" style="12" customWidth="1"/>
    <col min="6" max="6" width="11.1083333333333" style="11" hidden="1" customWidth="1"/>
    <col min="7" max="7" width="10.0833333333333" style="11" hidden="1" customWidth="1"/>
    <col min="8" max="8" width="7" style="11" customWidth="1"/>
    <col min="9" max="12" width="10.0833333333333" style="11" customWidth="1"/>
    <col min="13" max="13" width="7.5" style="10" customWidth="1"/>
    <col min="14" max="14" width="9.24166666666667" style="10" customWidth="1"/>
    <col min="15" max="16" width="6.89166666666667" style="10" customWidth="1"/>
    <col min="17" max="17" width="10.0833333333333" style="11" customWidth="1"/>
    <col min="18" max="18" width="7.5" style="10" customWidth="1"/>
    <col min="19" max="19" width="21.625" style="10" customWidth="1"/>
    <col min="20" max="20" width="16.125" style="10" customWidth="1"/>
    <col min="21" max="21" width="46.375" style="10" customWidth="1"/>
    <col min="22" max="16383" width="9" style="10"/>
  </cols>
  <sheetData>
    <row r="1" ht="27" customHeight="1" spans="1:21">
      <c r="A1" s="13" t="s">
        <v>0</v>
      </c>
      <c r="B1" s="14"/>
      <c r="C1" s="15" t="s">
        <v>1</v>
      </c>
      <c r="D1" s="16"/>
      <c r="E1" s="17" t="s">
        <v>2</v>
      </c>
      <c r="F1" s="18"/>
      <c r="G1" s="18"/>
      <c r="H1" s="18"/>
      <c r="I1" s="18"/>
      <c r="J1" s="18"/>
      <c r="K1" s="18"/>
      <c r="L1" s="51"/>
      <c r="M1" s="52" t="s">
        <v>3</v>
      </c>
      <c r="N1" s="53"/>
      <c r="O1" s="53"/>
      <c r="P1" s="53"/>
      <c r="Q1" s="53"/>
      <c r="R1" s="53"/>
      <c r="S1" s="80"/>
      <c r="T1" s="81" t="s">
        <v>4</v>
      </c>
      <c r="U1" s="82" t="s">
        <v>5</v>
      </c>
    </row>
    <row r="2" s="9" customFormat="1" ht="36.75" spans="1:21">
      <c r="A2" s="19" t="s">
        <v>6</v>
      </c>
      <c r="B2" s="19" t="s">
        <v>7</v>
      </c>
      <c r="C2" s="20" t="s">
        <v>8</v>
      </c>
      <c r="D2" s="21" t="s">
        <v>9</v>
      </c>
      <c r="E2" s="22" t="s">
        <v>10</v>
      </c>
      <c r="F2" s="23" t="s">
        <v>11</v>
      </c>
      <c r="G2" s="23" t="s">
        <v>12</v>
      </c>
      <c r="H2" s="23" t="s">
        <v>13</v>
      </c>
      <c r="I2" s="23" t="s">
        <v>14</v>
      </c>
      <c r="J2" s="23" t="s">
        <v>15</v>
      </c>
      <c r="K2" s="23" t="s">
        <v>16</v>
      </c>
      <c r="L2" s="54" t="s">
        <v>17</v>
      </c>
      <c r="M2" s="55" t="s">
        <v>18</v>
      </c>
      <c r="N2" s="56" t="s">
        <v>19</v>
      </c>
      <c r="O2" s="56" t="s">
        <v>20</v>
      </c>
      <c r="P2" s="56" t="s">
        <v>21</v>
      </c>
      <c r="Q2" s="83" t="s">
        <v>22</v>
      </c>
      <c r="R2" s="83" t="s">
        <v>23</v>
      </c>
      <c r="S2" s="84" t="s">
        <v>24</v>
      </c>
      <c r="T2" s="85"/>
      <c r="U2" s="86"/>
    </row>
    <row r="3" ht="49" customHeight="1" spans="1:21">
      <c r="A3" s="24" t="s">
        <v>25</v>
      </c>
      <c r="B3" s="25" t="s">
        <v>26</v>
      </c>
      <c r="C3" s="26" t="s">
        <v>27</v>
      </c>
      <c r="D3" s="27" t="s">
        <v>28</v>
      </c>
      <c r="E3" s="28">
        <f>AVERAGE(F3:G3)</f>
        <v>72</v>
      </c>
      <c r="F3" s="29">
        <v>61</v>
      </c>
      <c r="G3" s="29">
        <v>83</v>
      </c>
      <c r="H3" s="29">
        <v>5</v>
      </c>
      <c r="I3" s="29">
        <v>3.1</v>
      </c>
      <c r="J3" s="29" t="s">
        <v>29</v>
      </c>
      <c r="K3" s="29">
        <v>6.5</v>
      </c>
      <c r="L3" s="57" t="s">
        <v>30</v>
      </c>
      <c r="M3" s="58" t="s">
        <v>31</v>
      </c>
      <c r="N3" s="59" t="s">
        <v>32</v>
      </c>
      <c r="O3" s="59" t="s">
        <v>33</v>
      </c>
      <c r="P3" s="59" t="s">
        <v>34</v>
      </c>
      <c r="Q3" s="87" t="s">
        <v>35</v>
      </c>
      <c r="R3" s="87" t="s">
        <v>36</v>
      </c>
      <c r="S3" s="88" t="s">
        <v>37</v>
      </c>
      <c r="T3" s="89">
        <v>74.9</v>
      </c>
      <c r="U3" s="90" t="s">
        <v>37</v>
      </c>
    </row>
    <row r="4" ht="49" customHeight="1" spans="1:21">
      <c r="A4" s="30"/>
      <c r="B4" s="31" t="s">
        <v>38</v>
      </c>
      <c r="C4" s="32" t="s">
        <v>39</v>
      </c>
      <c r="D4" s="33" t="s">
        <v>40</v>
      </c>
      <c r="E4" s="34">
        <f>AVERAGE(F4:G4)</f>
        <v>68.1</v>
      </c>
      <c r="F4" s="35">
        <v>61.4</v>
      </c>
      <c r="G4" s="35">
        <v>74.8</v>
      </c>
      <c r="H4" s="35">
        <v>35</v>
      </c>
      <c r="I4" s="35">
        <v>5.3</v>
      </c>
      <c r="J4" s="35" t="s">
        <v>29</v>
      </c>
      <c r="K4" s="35">
        <v>14</v>
      </c>
      <c r="L4" s="60" t="s">
        <v>41</v>
      </c>
      <c r="M4" s="61" t="s">
        <v>42</v>
      </c>
      <c r="N4" s="62" t="s">
        <v>43</v>
      </c>
      <c r="O4" s="63" t="s">
        <v>44</v>
      </c>
      <c r="P4" s="59" t="s">
        <v>34</v>
      </c>
      <c r="Q4" s="91" t="s">
        <v>35</v>
      </c>
      <c r="R4" s="91" t="s">
        <v>36</v>
      </c>
      <c r="S4" s="92" t="s">
        <v>37</v>
      </c>
      <c r="T4" s="93">
        <v>64.9</v>
      </c>
      <c r="U4" s="94" t="s">
        <v>37</v>
      </c>
    </row>
    <row r="5" ht="49" customHeight="1" spans="1:21">
      <c r="A5" s="30"/>
      <c r="B5" s="31" t="s">
        <v>45</v>
      </c>
      <c r="C5" s="32" t="s">
        <v>46</v>
      </c>
      <c r="D5" s="33" t="s">
        <v>28</v>
      </c>
      <c r="E5" s="34">
        <f t="shared" ref="E4:E16" si="0">AVERAGE(F5:G5)</f>
        <v>65.5</v>
      </c>
      <c r="F5" s="35">
        <v>58</v>
      </c>
      <c r="G5" s="35">
        <v>73</v>
      </c>
      <c r="H5" s="35">
        <v>7.5</v>
      </c>
      <c r="I5" s="35">
        <v>3.6</v>
      </c>
      <c r="J5" s="35" t="s">
        <v>29</v>
      </c>
      <c r="K5" s="35">
        <v>6.7</v>
      </c>
      <c r="L5" s="60" t="s">
        <v>30</v>
      </c>
      <c r="M5" s="61" t="s">
        <v>47</v>
      </c>
      <c r="N5" s="62" t="s">
        <v>48</v>
      </c>
      <c r="O5" s="63" t="s">
        <v>33</v>
      </c>
      <c r="P5" s="59" t="s">
        <v>34</v>
      </c>
      <c r="Q5" s="91" t="s">
        <v>35</v>
      </c>
      <c r="R5" s="91" t="s">
        <v>36</v>
      </c>
      <c r="S5" s="92" t="s">
        <v>37</v>
      </c>
      <c r="T5" s="93">
        <v>84.9</v>
      </c>
      <c r="U5" s="95" t="s">
        <v>37</v>
      </c>
    </row>
    <row r="6" ht="49" customHeight="1" spans="1:21">
      <c r="A6" s="36"/>
      <c r="B6" s="37" t="s">
        <v>49</v>
      </c>
      <c r="C6" s="38" t="s">
        <v>50</v>
      </c>
      <c r="D6" s="39" t="s">
        <v>51</v>
      </c>
      <c r="E6" s="40">
        <f t="shared" si="0"/>
        <v>60.25</v>
      </c>
      <c r="F6" s="41">
        <v>56.5</v>
      </c>
      <c r="G6" s="41">
        <v>64</v>
      </c>
      <c r="H6" s="41">
        <v>8</v>
      </c>
      <c r="I6" s="41">
        <v>19.7</v>
      </c>
      <c r="J6" s="41">
        <v>56</v>
      </c>
      <c r="K6" s="41">
        <v>7</v>
      </c>
      <c r="L6" s="64" t="s">
        <v>30</v>
      </c>
      <c r="M6" s="65" t="s">
        <v>47</v>
      </c>
      <c r="N6" s="66" t="s">
        <v>48</v>
      </c>
      <c r="O6" s="67" t="s">
        <v>52</v>
      </c>
      <c r="P6" s="68" t="s">
        <v>34</v>
      </c>
      <c r="Q6" s="96" t="s">
        <v>35</v>
      </c>
      <c r="R6" s="96" t="s">
        <v>36</v>
      </c>
      <c r="S6" s="97" t="s">
        <v>37</v>
      </c>
      <c r="T6" s="98">
        <v>89.9</v>
      </c>
      <c r="U6" s="99" t="s">
        <v>37</v>
      </c>
    </row>
    <row r="7" ht="45" spans="1:21">
      <c r="A7" s="42" t="s">
        <v>53</v>
      </c>
      <c r="B7" s="25" t="s">
        <v>54</v>
      </c>
      <c r="C7" s="43" t="s">
        <v>55</v>
      </c>
      <c r="D7" s="44" t="s">
        <v>56</v>
      </c>
      <c r="E7" s="45" t="s">
        <v>37</v>
      </c>
      <c r="F7" s="46" t="s">
        <v>37</v>
      </c>
      <c r="G7" s="46" t="s">
        <v>37</v>
      </c>
      <c r="H7" s="46" t="s">
        <v>37</v>
      </c>
      <c r="I7" s="46">
        <v>3.1</v>
      </c>
      <c r="J7" s="46">
        <v>53</v>
      </c>
      <c r="K7" s="46">
        <v>6.9</v>
      </c>
      <c r="L7" s="69" t="s">
        <v>57</v>
      </c>
      <c r="M7" s="70" t="s">
        <v>58</v>
      </c>
      <c r="N7" s="71" t="s">
        <v>59</v>
      </c>
      <c r="O7" s="71" t="s">
        <v>60</v>
      </c>
      <c r="P7" s="71">
        <v>0.08</v>
      </c>
      <c r="Q7" s="100" t="s">
        <v>35</v>
      </c>
      <c r="R7" s="100" t="s">
        <v>61</v>
      </c>
      <c r="S7" s="101" t="s">
        <v>62</v>
      </c>
      <c r="T7" s="89">
        <v>299</v>
      </c>
      <c r="U7" s="90" t="s">
        <v>63</v>
      </c>
    </row>
    <row r="8" ht="49" customHeight="1" spans="1:21">
      <c r="A8" s="30"/>
      <c r="B8" s="31" t="s">
        <v>64</v>
      </c>
      <c r="C8" s="32" t="s">
        <v>65</v>
      </c>
      <c r="D8" s="33" t="s">
        <v>66</v>
      </c>
      <c r="E8" s="34">
        <f t="shared" si="0"/>
        <v>72</v>
      </c>
      <c r="F8" s="35">
        <v>61</v>
      </c>
      <c r="G8" s="35">
        <v>83</v>
      </c>
      <c r="H8" s="35" t="s">
        <v>29</v>
      </c>
      <c r="I8" s="35">
        <v>4</v>
      </c>
      <c r="J8" s="35">
        <v>55</v>
      </c>
      <c r="K8" s="72">
        <v>7.9</v>
      </c>
      <c r="L8" s="60" t="s">
        <v>30</v>
      </c>
      <c r="M8" s="73" t="s">
        <v>31</v>
      </c>
      <c r="N8" s="63" t="s">
        <v>67</v>
      </c>
      <c r="O8" s="62" t="s">
        <v>60</v>
      </c>
      <c r="P8" s="62">
        <v>0.08</v>
      </c>
      <c r="Q8" s="91" t="s">
        <v>35</v>
      </c>
      <c r="R8" s="91" t="s">
        <v>61</v>
      </c>
      <c r="S8" s="92" t="s">
        <v>37</v>
      </c>
      <c r="T8" s="93">
        <v>74.9</v>
      </c>
      <c r="U8" s="95" t="s">
        <v>68</v>
      </c>
    </row>
    <row r="9" ht="49" customHeight="1" spans="1:21">
      <c r="A9" s="30"/>
      <c r="B9" s="31" t="s">
        <v>69</v>
      </c>
      <c r="C9" s="32" t="s">
        <v>70</v>
      </c>
      <c r="D9" s="33" t="s">
        <v>71</v>
      </c>
      <c r="E9" s="34">
        <f t="shared" si="0"/>
        <v>64</v>
      </c>
      <c r="F9" s="35">
        <v>49</v>
      </c>
      <c r="G9" s="35">
        <v>79</v>
      </c>
      <c r="H9" s="35">
        <v>31</v>
      </c>
      <c r="I9" s="35">
        <v>21</v>
      </c>
      <c r="J9" s="35">
        <v>51.7</v>
      </c>
      <c r="K9" s="35" t="s">
        <v>37</v>
      </c>
      <c r="L9" s="60" t="s">
        <v>37</v>
      </c>
      <c r="M9" s="61" t="s">
        <v>72</v>
      </c>
      <c r="N9" s="62" t="s">
        <v>59</v>
      </c>
      <c r="O9" s="63" t="s">
        <v>33</v>
      </c>
      <c r="P9" s="59" t="s">
        <v>73</v>
      </c>
      <c r="Q9" s="91" t="s">
        <v>35</v>
      </c>
      <c r="R9" s="91" t="s">
        <v>74</v>
      </c>
      <c r="S9" s="92" t="s">
        <v>75</v>
      </c>
      <c r="T9" s="93">
        <v>109.9</v>
      </c>
      <c r="U9" s="95" t="s">
        <v>76</v>
      </c>
    </row>
    <row r="10" ht="49" customHeight="1" spans="1:21">
      <c r="A10" s="30"/>
      <c r="B10" s="31" t="s">
        <v>77</v>
      </c>
      <c r="C10" s="32" t="s">
        <v>78</v>
      </c>
      <c r="D10" s="47" t="s">
        <v>66</v>
      </c>
      <c r="E10" s="34">
        <f t="shared" si="0"/>
        <v>62.8</v>
      </c>
      <c r="F10" s="35">
        <v>60.6</v>
      </c>
      <c r="G10" s="35">
        <v>65</v>
      </c>
      <c r="H10" s="35">
        <v>33</v>
      </c>
      <c r="I10" s="35">
        <v>6.3</v>
      </c>
      <c r="J10" s="35">
        <v>53</v>
      </c>
      <c r="K10" s="35">
        <v>9</v>
      </c>
      <c r="L10" s="60" t="s">
        <v>30</v>
      </c>
      <c r="M10" s="61" t="s">
        <v>79</v>
      </c>
      <c r="N10" s="62" t="s">
        <v>59</v>
      </c>
      <c r="O10" s="63" t="s">
        <v>52</v>
      </c>
      <c r="P10" s="63" t="s">
        <v>80</v>
      </c>
      <c r="Q10" s="91" t="s">
        <v>35</v>
      </c>
      <c r="R10" s="91" t="s">
        <v>61</v>
      </c>
      <c r="S10" s="92" t="s">
        <v>37</v>
      </c>
      <c r="T10" s="93">
        <v>89.9</v>
      </c>
      <c r="U10" s="95" t="s">
        <v>37</v>
      </c>
    </row>
    <row r="11" ht="49" customHeight="1" spans="1:21">
      <c r="A11" s="36"/>
      <c r="B11" s="48" t="s">
        <v>81</v>
      </c>
      <c r="C11" s="38" t="s">
        <v>82</v>
      </c>
      <c r="D11" s="39" t="s">
        <v>83</v>
      </c>
      <c r="E11" s="40">
        <f t="shared" si="0"/>
        <v>52.35</v>
      </c>
      <c r="F11" s="41">
        <v>39.8</v>
      </c>
      <c r="G11" s="41">
        <v>64.9</v>
      </c>
      <c r="H11" s="41" t="s">
        <v>29</v>
      </c>
      <c r="I11" s="41" t="s">
        <v>29</v>
      </c>
      <c r="J11" s="41">
        <v>53</v>
      </c>
      <c r="K11" s="41" t="s">
        <v>29</v>
      </c>
      <c r="L11" s="64" t="s">
        <v>29</v>
      </c>
      <c r="M11" s="74" t="s">
        <v>84</v>
      </c>
      <c r="N11" s="75" t="s">
        <v>59</v>
      </c>
      <c r="O11" s="76" t="s">
        <v>33</v>
      </c>
      <c r="P11" s="76" t="s">
        <v>80</v>
      </c>
      <c r="Q11" s="102" t="s">
        <v>85</v>
      </c>
      <c r="R11" s="102" t="s">
        <v>61</v>
      </c>
      <c r="S11" s="103" t="s">
        <v>86</v>
      </c>
      <c r="T11" s="98">
        <v>179</v>
      </c>
      <c r="U11" s="104" t="s">
        <v>87</v>
      </c>
    </row>
    <row r="12" ht="49" customHeight="1" spans="1:21">
      <c r="A12" s="24" t="s">
        <v>88</v>
      </c>
      <c r="B12" s="49" t="s">
        <v>89</v>
      </c>
      <c r="C12" s="26" t="s">
        <v>90</v>
      </c>
      <c r="D12" s="27" t="s">
        <v>91</v>
      </c>
      <c r="E12" s="28">
        <f t="shared" si="0"/>
        <v>23</v>
      </c>
      <c r="F12" s="29">
        <v>23</v>
      </c>
      <c r="G12" s="29" t="s">
        <v>37</v>
      </c>
      <c r="H12" s="29" t="s">
        <v>37</v>
      </c>
      <c r="I12" s="29">
        <v>215</v>
      </c>
      <c r="J12" s="29">
        <v>55</v>
      </c>
      <c r="K12" s="29">
        <v>3.1</v>
      </c>
      <c r="L12" s="57" t="s">
        <v>37</v>
      </c>
      <c r="M12" s="77" t="s">
        <v>92</v>
      </c>
      <c r="N12" s="78" t="s">
        <v>59</v>
      </c>
      <c r="O12" s="59" t="s">
        <v>33</v>
      </c>
      <c r="P12" s="59" t="s">
        <v>37</v>
      </c>
      <c r="Q12" s="87" t="s">
        <v>85</v>
      </c>
      <c r="R12" s="105" t="s">
        <v>74</v>
      </c>
      <c r="S12" s="88" t="s">
        <v>37</v>
      </c>
      <c r="T12" s="106">
        <v>139</v>
      </c>
      <c r="U12" s="107" t="s">
        <v>93</v>
      </c>
    </row>
    <row r="13" ht="49" customHeight="1" spans="1:21">
      <c r="A13" s="30"/>
      <c r="B13" s="31" t="s">
        <v>94</v>
      </c>
      <c r="C13" s="32" t="s">
        <v>95</v>
      </c>
      <c r="D13" s="33" t="s">
        <v>96</v>
      </c>
      <c r="E13" s="34">
        <f t="shared" si="0"/>
        <v>205</v>
      </c>
      <c r="F13" s="35">
        <v>170</v>
      </c>
      <c r="G13" s="35">
        <v>240</v>
      </c>
      <c r="H13" s="35">
        <v>8.7</v>
      </c>
      <c r="I13" s="35" t="s">
        <v>37</v>
      </c>
      <c r="J13" s="35">
        <v>205</v>
      </c>
      <c r="K13" s="35" t="s">
        <v>29</v>
      </c>
      <c r="L13" s="60" t="s">
        <v>29</v>
      </c>
      <c r="M13" s="73" t="s">
        <v>97</v>
      </c>
      <c r="N13" s="63" t="s">
        <v>67</v>
      </c>
      <c r="O13" s="63" t="s">
        <v>98</v>
      </c>
      <c r="P13" s="63">
        <v>0.2</v>
      </c>
      <c r="Q13" s="91" t="s">
        <v>99</v>
      </c>
      <c r="R13" s="96" t="s">
        <v>100</v>
      </c>
      <c r="S13" s="108" t="s">
        <v>101</v>
      </c>
      <c r="T13" s="93">
        <v>299</v>
      </c>
      <c r="U13" s="95" t="s">
        <v>102</v>
      </c>
    </row>
    <row r="14" ht="49" customHeight="1" spans="1:21">
      <c r="A14" s="30"/>
      <c r="B14" s="31" t="s">
        <v>103</v>
      </c>
      <c r="C14" s="32" t="s">
        <v>104</v>
      </c>
      <c r="D14" s="33" t="s">
        <v>105</v>
      </c>
      <c r="E14" s="34">
        <f t="shared" si="0"/>
        <v>51.5</v>
      </c>
      <c r="F14" s="50">
        <v>41</v>
      </c>
      <c r="G14" s="50">
        <v>62</v>
      </c>
      <c r="H14" s="50">
        <v>90</v>
      </c>
      <c r="I14" s="50">
        <v>15</v>
      </c>
      <c r="J14" s="50">
        <v>80</v>
      </c>
      <c r="K14" s="50">
        <v>8.4</v>
      </c>
      <c r="L14" s="79" t="s">
        <v>106</v>
      </c>
      <c r="M14" s="73" t="s">
        <v>107</v>
      </c>
      <c r="N14" s="63" t="s">
        <v>32</v>
      </c>
      <c r="O14" s="63" t="s">
        <v>98</v>
      </c>
      <c r="P14" s="63">
        <v>0.2</v>
      </c>
      <c r="Q14" s="109" t="s">
        <v>85</v>
      </c>
      <c r="R14" s="91" t="s">
        <v>36</v>
      </c>
      <c r="S14" s="92" t="s">
        <v>108</v>
      </c>
      <c r="T14" s="93">
        <v>124</v>
      </c>
      <c r="U14" s="110" t="s">
        <v>109</v>
      </c>
    </row>
    <row r="15" ht="49" customHeight="1" spans="1:21">
      <c r="A15" s="30"/>
      <c r="B15" s="31" t="s">
        <v>110</v>
      </c>
      <c r="C15" s="32" t="s">
        <v>111</v>
      </c>
      <c r="D15" s="33" t="s">
        <v>112</v>
      </c>
      <c r="E15" s="34">
        <f t="shared" si="0"/>
        <v>48.5</v>
      </c>
      <c r="F15" s="35">
        <v>42</v>
      </c>
      <c r="G15" s="35">
        <v>55</v>
      </c>
      <c r="H15" s="35">
        <v>126</v>
      </c>
      <c r="I15" s="35">
        <v>7.8</v>
      </c>
      <c r="J15" s="35">
        <v>84</v>
      </c>
      <c r="K15" s="35">
        <v>17.9</v>
      </c>
      <c r="L15" s="60" t="s">
        <v>106</v>
      </c>
      <c r="M15" s="61" t="s">
        <v>113</v>
      </c>
      <c r="N15" s="62" t="s">
        <v>59</v>
      </c>
      <c r="O15" s="63" t="s">
        <v>98</v>
      </c>
      <c r="P15" s="63">
        <v>0.2</v>
      </c>
      <c r="Q15" s="91" t="s">
        <v>85</v>
      </c>
      <c r="R15" s="91" t="s">
        <v>36</v>
      </c>
      <c r="S15" s="108" t="s">
        <v>114</v>
      </c>
      <c r="T15" s="93">
        <v>64.9</v>
      </c>
      <c r="U15" s="95" t="s">
        <v>115</v>
      </c>
    </row>
    <row r="16" ht="80" customHeight="1" spans="1:21">
      <c r="A16" s="36"/>
      <c r="B16" s="37" t="s">
        <v>116</v>
      </c>
      <c r="C16" s="38" t="s">
        <v>117</v>
      </c>
      <c r="D16" s="39" t="s">
        <v>118</v>
      </c>
      <c r="E16" s="40">
        <f t="shared" si="0"/>
        <v>12.98</v>
      </c>
      <c r="F16" s="41">
        <v>21.7</v>
      </c>
      <c r="G16" s="41">
        <v>4.26</v>
      </c>
      <c r="H16" s="41" t="s">
        <v>119</v>
      </c>
      <c r="I16" s="41">
        <v>536</v>
      </c>
      <c r="J16" s="41" t="s">
        <v>37</v>
      </c>
      <c r="K16" s="41" t="s">
        <v>120</v>
      </c>
      <c r="L16" s="64" t="s">
        <v>37</v>
      </c>
      <c r="M16" s="74" t="s">
        <v>121</v>
      </c>
      <c r="N16" s="75" t="s">
        <v>122</v>
      </c>
      <c r="O16" s="75" t="s">
        <v>123</v>
      </c>
      <c r="P16" s="75" t="s">
        <v>124</v>
      </c>
      <c r="Q16" s="102" t="s">
        <v>85</v>
      </c>
      <c r="R16" s="102" t="s">
        <v>74</v>
      </c>
      <c r="S16" s="111"/>
      <c r="T16" s="98">
        <v>149</v>
      </c>
      <c r="U16" s="104" t="s">
        <v>125</v>
      </c>
    </row>
  </sheetData>
  <autoFilter xmlns:etc="http://www.wps.cn/officeDocument/2017/etCustomData" ref="A2:U16" etc:filterBottomFollowUsedRange="0">
    <extLst/>
  </autoFilter>
  <mergeCells count="9">
    <mergeCell ref="A1:B1"/>
    <mergeCell ref="C1:D1"/>
    <mergeCell ref="E1:L1"/>
    <mergeCell ref="M1:S1"/>
    <mergeCell ref="A3:A6"/>
    <mergeCell ref="A7:A11"/>
    <mergeCell ref="A12:A16"/>
    <mergeCell ref="T1:T2"/>
    <mergeCell ref="U1:U2"/>
  </mergeCells>
  <conditionalFormatting sqref="E1">
    <cfRule type="cellIs" dxfId="0" priority="1" operator="equal">
      <formula>0</formula>
    </cfRule>
  </conditionalFormatting>
  <conditionalFormatting sqref="A2:L3 B4:L6 A7:L7 M2:S16 B8:L11 B13:L16 A12:L12 T1 T3:T16">
    <cfRule type="cellIs" dxfId="0" priority="3" operator="equal">
      <formula>0</formula>
    </cfRule>
  </conditionalFormatting>
  <conditionalFormatting sqref="U3:U16 U1">
    <cfRule type="cellIs" dxfId="0" priority="2" operator="equal">
      <formula>0</formula>
    </cfRule>
  </conditionalFormatting>
  <pageMargins left="0.7" right="0.7" top="0.75" bottom="0.75" header="0.3" footer="0.3"/>
  <pageSetup paperSize="9" orientation="portrait"/>
  <headerFooter/>
  <ignoredErrors>
    <ignoredError sqref="E3:E4 E9:E10 E13:E15 E5:E6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7"/>
  <sheetViews>
    <sheetView tabSelected="1" zoomScale="85" zoomScaleNormal="85" workbookViewId="0">
      <selection activeCell="B17" sqref="B17"/>
    </sheetView>
  </sheetViews>
  <sheetFormatPr defaultColWidth="9" defaultRowHeight="13.5" outlineLevelRow="6" outlineLevelCol="2"/>
  <cols>
    <col min="2" max="2" width="29.5" customWidth="1"/>
    <col min="3" max="3" width="73.125" customWidth="1"/>
  </cols>
  <sheetData>
    <row r="1" ht="39" customHeight="1" spans="2:3">
      <c r="B1" s="1" t="s">
        <v>126</v>
      </c>
      <c r="C1" s="2" t="s">
        <v>127</v>
      </c>
    </row>
    <row r="2" ht="25.5" spans="2:3">
      <c r="B2" s="3" t="s">
        <v>128</v>
      </c>
      <c r="C2" s="4" t="s">
        <v>129</v>
      </c>
    </row>
    <row r="3" ht="25.5" spans="2:3">
      <c r="B3" s="5" t="s">
        <v>130</v>
      </c>
      <c r="C3" s="6" t="s">
        <v>131</v>
      </c>
    </row>
    <row r="4" ht="21" customHeight="1" spans="2:3">
      <c r="B4" s="5" t="s">
        <v>132</v>
      </c>
      <c r="C4" s="6" t="s">
        <v>133</v>
      </c>
    </row>
    <row r="5" ht="26" customHeight="1" spans="2:3">
      <c r="B5" s="5" t="s">
        <v>134</v>
      </c>
      <c r="C5" s="6" t="s">
        <v>135</v>
      </c>
    </row>
    <row r="6" ht="25.5" spans="2:3">
      <c r="B6" s="5" t="s">
        <v>136</v>
      </c>
      <c r="C6" s="6" t="s">
        <v>137</v>
      </c>
    </row>
    <row r="7" ht="26.25" spans="2:3">
      <c r="B7" s="7" t="s">
        <v>138</v>
      </c>
      <c r="C7" s="8" t="s">
        <v>139</v>
      </c>
    </row>
  </sheetData>
  <hyperlinks>
    <hyperlink ref="C6" r:id="rId1" display="https://makerworld.com.cn/zh/models/582409#profileId-513715" tooltip="https://makerworld.com.cn/zh/models/582409#profileId-513715"/>
    <hyperlink ref="C7" r:id="rId2" display="https://makerworld.com.cn/zh/models/582426#profileId-513729" tooltip="https://makerworld.com.cn/zh/models/582426#profileId-513729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耗材性能</vt:lpstr>
      <vt:lpstr>模型文件网站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玩火小烁</cp:lastModifiedBy>
  <dcterms:created xsi:type="dcterms:W3CDTF">2023-05-12T11:15:00Z</dcterms:created>
  <dcterms:modified xsi:type="dcterms:W3CDTF">2024-10-24T23:37:52Z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572B4B55883F49ED95EB15305D31E742_12</vt:lpwstr>
  </property>
</Properties>
</file>